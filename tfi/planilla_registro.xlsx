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tapa 2" sheetId="2" state="visible" r:id="rId2"/>
    <sheet xmlns:r="http://schemas.openxmlformats.org/officeDocument/2006/relationships" name="Etapa 3 - Exactitud" sheetId="3" state="visible" r:id="rId3"/>
    <sheet xmlns:r="http://schemas.openxmlformats.org/officeDocument/2006/relationships" name="Etapa 3 - Red" sheetId="4" state="visible" r:id="rId4"/>
    <sheet xmlns:r="http://schemas.openxmlformats.org/officeDocument/2006/relationships" name="Etapa 4 - Alertas" sheetId="5" state="visible" r:id="rId5"/>
    <sheet xmlns:r="http://schemas.openxmlformats.org/officeDocument/2006/relationships" name="Etapa 4 - MTBF" sheetId="6" state="visible" r:id="rId6"/>
    <sheet xmlns:r="http://schemas.openxmlformats.org/officeDocument/2006/relationships" name="Etapa 4 - Falla y reset" sheetId="7" state="visible" r:id="rId7"/>
    <sheet xmlns:r="http://schemas.openxmlformats.org/officeDocument/2006/relationships" name="Resumen fin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8">
    <font>
      <name val="Calibri"/>
      <family val="2"/>
      <color theme="1"/>
      <sz val="11"/>
      <scheme val="minor"/>
    </font>
    <font>
      <b val="1"/>
      <color rgb="001F6D3A"/>
      <sz val="16"/>
    </font>
    <font>
      <b val="1"/>
      <color rgb="00FFFFFF"/>
      <sz val="11"/>
    </font>
    <font>
      <b val="1"/>
      <color rgb="001F6D3A"/>
      <sz val="12"/>
    </font>
    <font>
      <i val="1"/>
      <sz val="10"/>
    </font>
    <font>
      <i val="1"/>
    </font>
    <font>
      <b val="1"/>
    </font>
    <font>
      <b val="1"/>
      <color rgb="001F6D3A"/>
      <sz val="14"/>
    </font>
  </fonts>
  <fills count="3">
    <fill>
      <patternFill/>
    </fill>
    <fill>
      <patternFill patternType="gray125"/>
    </fill>
    <fill>
      <patternFill patternType="solid">
        <fgColor rgb="001F6D3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top" wrapText="1"/>
    </xf>
    <xf numFmtId="165" fontId="0" fillId="0" borderId="1" applyAlignment="1" pivotButton="0" quotePrefix="0" xfId="0">
      <alignment horizontal="left" vertical="top" wrapText="1"/>
    </xf>
    <xf numFmtId="2" fontId="0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Planilla de registro — Prueba de concepto (14 días)</t>
        </is>
      </c>
    </row>
    <row r="2">
      <c r="A2" s="2" t="inlineStr"/>
    </row>
    <row r="3">
      <c r="A3" s="2" t="inlineStr">
        <is>
          <t>PRECONDICIONES TÉCNICAS (verificar antes del Día 0):</t>
        </is>
      </c>
    </row>
    <row r="4">
      <c r="A4" s="2" t="inlineStr">
        <is>
          <t xml:space="preserve">  · Sincronización de reloj: entrá desde el cel y desde la compu a https://time.is. Verificá que ambos difieren en menos de 2 segundos. Esto es crítico porque el sistema guarda timestamps del servidor de Neon y vos medís tiempo con el cel. Un drift mayor a 2 seg aparecería como desvío del sistema.</t>
        </is>
      </c>
    </row>
    <row r="5">
      <c r="A5" s="2" t="inlineStr">
        <is>
          <t xml:space="preserve">  · Test de conexión: hacer un primer escaneo de prueba con red normal antes de arrancar.</t>
        </is>
      </c>
    </row>
    <row r="6">
      <c r="A6" s="2" t="inlineStr">
        <is>
          <t xml:space="preserve">  · Contingencia: si un día no podés ejecutar, documentar como observación. NO rellenar con datos sintéticos.</t>
        </is>
      </c>
    </row>
    <row r="7">
      <c r="A7" s="2" t="inlineStr"/>
    </row>
    <row r="8">
      <c r="A8" s="2" t="inlineStr">
        <is>
          <t>Este libro tiene una hoja por etapa. Al final de cada día, abrí la hoja de la etapa que corresponda y completá la fila del día.</t>
        </is>
      </c>
    </row>
    <row r="9">
      <c r="A9" s="2" t="inlineStr"/>
    </row>
    <row r="10">
      <c r="A10" s="2" t="inlineStr">
        <is>
          <t>Etapa 2 (días 1 al 14): tasa de lectura del QR + duración media escaneo. Condición de luz precargada según rotación. Ver hoja "Etapa 2".</t>
        </is>
      </c>
    </row>
    <row r="11">
      <c r="A11" s="2" t="inlineStr">
        <is>
          <t>Etapa 3 (días 3, 7 y 11): 3 mediciones de exactitud por día (mañana/tarde/noche) → 9 filas + cortes de red por día. Ver hoja "Etapa 3".</t>
        </is>
      </c>
    </row>
    <row r="12">
      <c r="A12" s="2" t="inlineStr">
        <is>
          <t>Etapa 4 (días 12 y 13): equipos NUEVOS (BIC-071, BIC-072, VEN-18) creados desde /alta. Alerta AMP + MTBF con captura antes/después. Ver hoja "Etapa 4".</t>
        </is>
      </c>
    </row>
    <row r="13">
      <c r="A13" s="2" t="inlineStr"/>
    </row>
    <row r="14">
      <c r="A14" s="2" t="inlineStr">
        <is>
          <t>Al finalizar, ver hoja "Resumen final". Los valores se vuelcan a los bloques verdes del TFI (§5.5).</t>
        </is>
      </c>
    </row>
    <row r="15">
      <c r="A15" s="2" t="inlineStr"/>
    </row>
    <row r="16">
      <c r="A16" s="2" t="inlineStr">
        <is>
          <t>Definiciones operativas:</t>
        </is>
      </c>
    </row>
    <row r="17">
      <c r="A17" s="2" t="inlineStr">
        <is>
          <t xml:space="preserve">  · Duración media escaneo: tiempo desde que el QR aparece en foco de la cámara hasta que aparece el mensaje verde de confirmación. Cronometrar con otra app en el cel. Promediar al menos 5 escaneos consecutivos.</t>
        </is>
      </c>
    </row>
    <row r="18">
      <c r="A18" s="2" t="inlineStr">
        <is>
          <t xml:space="preserve">  · Tasa de lectura QR: escaneos exitosos dividido intentos totales * 100. Un intento fallido es cualquiera que tardó más de 5 seg O que necesitó reencuadre manual.</t>
        </is>
      </c>
    </row>
    <row r="19">
      <c r="A19" s="2" t="inlineStr">
        <is>
          <t xml:space="preserve">  · Escaneos del día: contar SOLO los del cronograma, no los de las pruebas extra.</t>
        </is>
      </c>
    </row>
    <row r="20">
      <c r="A20" s="2" t="inlineStr">
        <is>
          <t xml:space="preserve">  · Cortes forzados: la métrica valida el MECANISMO DE REINTENTO LOCAL del sistema, no la persistencia atómica del POST inmediato. Al volcarlo al TFI describir así.</t>
        </is>
      </c>
    </row>
    <row r="21">
      <c r="A21" s="2" t="inlineStr">
        <is>
          <t xml:space="preserve">  · Exactitud de horas: horas registradas por el sistema vs. tiempo real. Ej: activás a 10:00:00, desactivás a 10:30:00, sistema muestra 0.50 h → desvío 0%. Si muestra 0.51 → desvío 2%.</t>
        </is>
      </c>
    </row>
    <row r="22">
      <c r="A22" s="2" t="inlineStr">
        <is>
          <t xml:space="preserve">  · MTBF: se documenta ANTES y DESPUÉS de cargar fallas sintéticas para mostrar el cambio del cálculo.</t>
        </is>
      </c>
    </row>
    <row r="23">
      <c r="A23" s="2" t="inlineStr"/>
    </row>
    <row r="24">
      <c r="A24" s="2" t="inlineStr">
        <is>
          <t>Valores esperados de la planilla (95%, 3seg, etc.) son criterios operativos propuestos por la autora, no estándares formales. Su cumplimiento se interpreta como éxito operativo del sistema.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  <col width="22" customWidth="1" min="7" max="7"/>
    <col width="40" customWidth="1" min="8" max="8"/>
  </cols>
  <sheetData>
    <row r="1" ht="40" customHeight="1">
      <c r="A1" s="3" t="inlineStr">
        <is>
          <t>Día</t>
        </is>
      </c>
      <c r="B1" s="3" t="inlineStr">
        <is>
          <t>Fecha (AAAA-MM-DD)</t>
        </is>
      </c>
      <c r="C1" s="3" t="inlineStr">
        <is>
          <t>Condición de luz</t>
        </is>
      </c>
      <c r="D1" s="3" t="inlineStr">
        <is>
          <t>Escaneos intentados (n)</t>
        </is>
      </c>
      <c r="E1" s="3" t="inlineStr">
        <is>
          <t>Escaneos exitosos (n)</t>
        </is>
      </c>
      <c r="F1" s="3" t="inlineStr">
        <is>
          <t>Tasa de lectura QR (%)</t>
        </is>
      </c>
      <c r="G1" s="3" t="inlineStr">
        <is>
          <t>Duración media escaneo (seg)</t>
        </is>
      </c>
      <c r="H1" s="3" t="inlineStr">
        <is>
          <t>Observaciones</t>
        </is>
      </c>
    </row>
    <row r="2">
      <c r="A2" s="4" t="inlineStr">
        <is>
          <t>Día 1</t>
        </is>
      </c>
      <c r="B2" s="4" t="n"/>
      <c r="C2" s="4" t="inlineStr">
        <is>
          <t>Natural</t>
        </is>
      </c>
      <c r="D2" s="4" t="n"/>
      <c r="E2" s="4" t="n"/>
      <c r="F2" s="5">
        <f>IFERROR(E2/D2*100,"")</f>
        <v/>
      </c>
      <c r="G2" s="4" t="n"/>
      <c r="H2" s="4" t="n"/>
    </row>
    <row r="3">
      <c r="A3" s="4" t="inlineStr">
        <is>
          <t>Día 2</t>
        </is>
      </c>
      <c r="B3" s="4" t="n"/>
      <c r="C3" s="4" t="inlineStr">
        <is>
          <t>Artificial</t>
        </is>
      </c>
      <c r="D3" s="4" t="n"/>
      <c r="E3" s="4" t="n"/>
      <c r="F3" s="5">
        <f>IFERROR(E3/D3*100,"")</f>
        <v/>
      </c>
      <c r="G3" s="4" t="n"/>
      <c r="H3" s="4" t="n"/>
    </row>
    <row r="4">
      <c r="A4" s="4" t="inlineStr">
        <is>
          <t>Día 3</t>
        </is>
      </c>
      <c r="B4" s="4" t="n"/>
      <c r="C4" s="4" t="inlineStr">
        <is>
          <t>Baja</t>
        </is>
      </c>
      <c r="D4" s="4" t="n"/>
      <c r="E4" s="4" t="n"/>
      <c r="F4" s="5">
        <f>IFERROR(E4/D4*100,"")</f>
        <v/>
      </c>
      <c r="G4" s="4" t="n"/>
      <c r="H4" s="4" t="n"/>
    </row>
    <row r="5">
      <c r="A5" s="4" t="inlineStr">
        <is>
          <t>Día 4</t>
        </is>
      </c>
      <c r="B5" s="4" t="n"/>
      <c r="C5" s="4" t="inlineStr">
        <is>
          <t>Natural</t>
        </is>
      </c>
      <c r="D5" s="4" t="n"/>
      <c r="E5" s="4" t="n"/>
      <c r="F5" s="5">
        <f>IFERROR(E5/D5*100,"")</f>
        <v/>
      </c>
      <c r="G5" s="4" t="n"/>
      <c r="H5" s="4" t="n"/>
    </row>
    <row r="6">
      <c r="A6" s="4" t="inlineStr">
        <is>
          <t>Día 5</t>
        </is>
      </c>
      <c r="B6" s="4" t="n"/>
      <c r="C6" s="4" t="inlineStr">
        <is>
          <t>Artificial</t>
        </is>
      </c>
      <c r="D6" s="4" t="n"/>
      <c r="E6" s="4" t="n"/>
      <c r="F6" s="5">
        <f>IFERROR(E6/D6*100,"")</f>
        <v/>
      </c>
      <c r="G6" s="4" t="n"/>
      <c r="H6" s="4" t="n"/>
    </row>
    <row r="7">
      <c r="A7" s="4" t="inlineStr">
        <is>
          <t>Día 6</t>
        </is>
      </c>
      <c r="B7" s="4" t="n"/>
      <c r="C7" s="4" t="inlineStr">
        <is>
          <t>Baja</t>
        </is>
      </c>
      <c r="D7" s="4" t="n"/>
      <c r="E7" s="4" t="n"/>
      <c r="F7" s="5">
        <f>IFERROR(E7/D7*100,"")</f>
        <v/>
      </c>
      <c r="G7" s="4" t="n"/>
      <c r="H7" s="4" t="n"/>
    </row>
    <row r="8">
      <c r="A8" s="4" t="inlineStr">
        <is>
          <t>Día 7</t>
        </is>
      </c>
      <c r="B8" s="4" t="n"/>
      <c r="C8" s="4" t="inlineStr">
        <is>
          <t>Natural</t>
        </is>
      </c>
      <c r="D8" s="4" t="n"/>
      <c r="E8" s="4" t="n"/>
      <c r="F8" s="5">
        <f>IFERROR(E8/D8*100,"")</f>
        <v/>
      </c>
      <c r="G8" s="4" t="n"/>
      <c r="H8" s="4" t="n"/>
    </row>
    <row r="9">
      <c r="A9" s="4" t="inlineStr">
        <is>
          <t>Día 8</t>
        </is>
      </c>
      <c r="B9" s="4" t="n"/>
      <c r="C9" s="4" t="inlineStr">
        <is>
          <t>Artificial</t>
        </is>
      </c>
      <c r="D9" s="4" t="n"/>
      <c r="E9" s="4" t="n"/>
      <c r="F9" s="5">
        <f>IFERROR(E9/D9*100,"")</f>
        <v/>
      </c>
      <c r="G9" s="4" t="n"/>
      <c r="H9" s="4" t="n"/>
    </row>
    <row r="10">
      <c r="A10" s="4" t="inlineStr">
        <is>
          <t>Día 9</t>
        </is>
      </c>
      <c r="B10" s="4" t="n"/>
      <c r="C10" s="4" t="inlineStr">
        <is>
          <t>Baja</t>
        </is>
      </c>
      <c r="D10" s="4" t="n"/>
      <c r="E10" s="4" t="n"/>
      <c r="F10" s="5">
        <f>IFERROR(E10/D10*100,"")</f>
        <v/>
      </c>
      <c r="G10" s="4" t="n"/>
      <c r="H10" s="4" t="n"/>
    </row>
    <row r="11">
      <c r="A11" s="4" t="inlineStr">
        <is>
          <t>Día 10</t>
        </is>
      </c>
      <c r="B11" s="4" t="n"/>
      <c r="C11" s="4" t="inlineStr">
        <is>
          <t>Natural</t>
        </is>
      </c>
      <c r="D11" s="4" t="n"/>
      <c r="E11" s="4" t="n"/>
      <c r="F11" s="5">
        <f>IFERROR(E11/D11*100,"")</f>
        <v/>
      </c>
      <c r="G11" s="4" t="n"/>
      <c r="H11" s="4" t="n"/>
    </row>
    <row r="12">
      <c r="A12" s="4" t="inlineStr">
        <is>
          <t>Día 11</t>
        </is>
      </c>
      <c r="B12" s="4" t="n"/>
      <c r="C12" s="4" t="inlineStr">
        <is>
          <t>Artificial</t>
        </is>
      </c>
      <c r="D12" s="4" t="n"/>
      <c r="E12" s="4" t="n"/>
      <c r="F12" s="5">
        <f>IFERROR(E12/D12*100,"")</f>
        <v/>
      </c>
      <c r="G12" s="4" t="n"/>
      <c r="H12" s="4" t="n"/>
    </row>
    <row r="13">
      <c r="A13" s="4" t="inlineStr">
        <is>
          <t>Día 12</t>
        </is>
      </c>
      <c r="B13" s="4" t="n"/>
      <c r="C13" s="4" t="inlineStr">
        <is>
          <t>Baja</t>
        </is>
      </c>
      <c r="D13" s="4" t="n"/>
      <c r="E13" s="4" t="n"/>
      <c r="F13" s="5">
        <f>IFERROR(E13/D13*100,"")</f>
        <v/>
      </c>
      <c r="G13" s="4" t="n"/>
      <c r="H13" s="4" t="n"/>
    </row>
    <row r="14">
      <c r="A14" s="4" t="inlineStr">
        <is>
          <t>Día 13</t>
        </is>
      </c>
      <c r="B14" s="4" t="n"/>
      <c r="C14" s="4" t="inlineStr">
        <is>
          <t>Natural</t>
        </is>
      </c>
      <c r="D14" s="4" t="n"/>
      <c r="E14" s="4" t="n"/>
      <c r="F14" s="5">
        <f>IFERROR(E14/D14*100,"")</f>
        <v/>
      </c>
      <c r="G14" s="4" t="n"/>
      <c r="H14" s="4" t="n"/>
    </row>
    <row r="15">
      <c r="A15" s="4" t="inlineStr">
        <is>
          <t>Día 14</t>
        </is>
      </c>
      <c r="B15" s="4" t="n"/>
      <c r="C15" s="4" t="inlineStr">
        <is>
          <t>Artificial</t>
        </is>
      </c>
      <c r="D15" s="4" t="n"/>
      <c r="E15" s="4" t="n"/>
      <c r="F15" s="5">
        <f>IFERROR(E15/D15*100,"")</f>
        <v/>
      </c>
      <c r="G15" s="4" t="n"/>
      <c r="H15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  <col width="16" customWidth="1" min="8" max="8"/>
    <col width="18" customWidth="1" min="9" max="9"/>
    <col width="16" customWidth="1" min="10" max="10"/>
    <col width="14" customWidth="1" min="11" max="11"/>
    <col width="30" customWidth="1" min="12" max="12"/>
  </cols>
  <sheetData>
    <row r="1" ht="40" customHeight="1">
      <c r="A1" s="3" t="inlineStr">
        <is>
          <t>Día</t>
        </is>
      </c>
      <c r="B1" s="3" t="inlineStr">
        <is>
          <t>Turno</t>
        </is>
      </c>
      <c r="C1" s="3" t="inlineStr">
        <is>
          <t>Fecha</t>
        </is>
      </c>
      <c r="D1" s="3" t="inlineStr">
        <is>
          <t>Equipo usado</t>
        </is>
      </c>
      <c r="E1" s="3" t="inlineStr">
        <is>
          <t>Hora ACTIVAR (HH:MM:SS)</t>
        </is>
      </c>
      <c r="F1" s="3" t="inlineStr">
        <is>
          <t>Hora DESACTIVAR (HH:MM:SS)</t>
        </is>
      </c>
      <c r="G1" s="3" t="inlineStr">
        <is>
          <t>Minutos reales transcurridos</t>
        </is>
      </c>
      <c r="H1" s="3" t="inlineStr">
        <is>
          <t>Horas reales (÷60)</t>
        </is>
      </c>
      <c r="I1" s="3" t="inlineStr">
        <is>
          <t>Horas del sistema (del detalle)</t>
        </is>
      </c>
      <c r="J1" s="3" t="inlineStr">
        <is>
          <t>Desvío absoluto (h)</t>
        </is>
      </c>
      <c r="K1" s="3" t="inlineStr">
        <is>
          <t>Desvío (%)</t>
        </is>
      </c>
      <c r="L1" s="3" t="inlineStr">
        <is>
          <t>Observaciones</t>
        </is>
      </c>
    </row>
    <row r="2">
      <c r="A2" s="4" t="inlineStr">
        <is>
          <t>Día 3</t>
        </is>
      </c>
      <c r="B2" s="4" t="inlineStr">
        <is>
          <t>mañana</t>
        </is>
      </c>
      <c r="C2" s="4" t="n"/>
      <c r="D2" s="4" t="inlineStr">
        <is>
          <t>MON-06</t>
        </is>
      </c>
      <c r="E2" s="4" t="n"/>
      <c r="F2" s="4" t="n"/>
      <c r="G2" s="4" t="n"/>
      <c r="H2" s="6">
        <f>IFERROR(G2/60,"")</f>
        <v/>
      </c>
      <c r="I2" s="4" t="n"/>
      <c r="J2" s="6">
        <f>IFERROR(I2-H2,"")</f>
        <v/>
      </c>
      <c r="K2" s="7">
        <f>IFERROR((I2-H2)/H2*100,"")</f>
        <v/>
      </c>
      <c r="L2" s="4" t="n"/>
    </row>
    <row r="3">
      <c r="A3" s="4" t="inlineStr">
        <is>
          <t>Día 3</t>
        </is>
      </c>
      <c r="B3" s="4" t="inlineStr">
        <is>
          <t>tarde</t>
        </is>
      </c>
      <c r="C3" s="4" t="n"/>
      <c r="D3" s="4" t="n"/>
      <c r="E3" s="4" t="n"/>
      <c r="F3" s="4" t="n"/>
      <c r="G3" s="4" t="n"/>
      <c r="H3" s="6">
        <f>IFERROR(G3/60,"")</f>
        <v/>
      </c>
      <c r="I3" s="4" t="n"/>
      <c r="J3" s="6">
        <f>IFERROR(I3-H3,"")</f>
        <v/>
      </c>
      <c r="K3" s="7">
        <f>IFERROR((I3-H3)/H3*100,"")</f>
        <v/>
      </c>
      <c r="L3" s="4" t="n"/>
    </row>
    <row r="4">
      <c r="A4" s="4" t="inlineStr">
        <is>
          <t>Día 3</t>
        </is>
      </c>
      <c r="B4" s="4" t="inlineStr">
        <is>
          <t>noche</t>
        </is>
      </c>
      <c r="C4" s="4" t="n"/>
      <c r="D4" s="4" t="n"/>
      <c r="E4" s="4" t="n"/>
      <c r="F4" s="4" t="n"/>
      <c r="G4" s="4" t="n"/>
      <c r="H4" s="6">
        <f>IFERROR(G4/60,"")</f>
        <v/>
      </c>
      <c r="I4" s="4" t="n"/>
      <c r="J4" s="6">
        <f>IFERROR(I4-H4,"")</f>
        <v/>
      </c>
      <c r="K4" s="7">
        <f>IFERROR((I4-H4)/H4*100,"")</f>
        <v/>
      </c>
      <c r="L4" s="4" t="n"/>
    </row>
    <row r="5">
      <c r="A5" s="4" t="inlineStr">
        <is>
          <t>Día 7</t>
        </is>
      </c>
      <c r="B5" s="4" t="inlineStr">
        <is>
          <t>mañana</t>
        </is>
      </c>
      <c r="C5" s="4" t="n"/>
      <c r="D5" s="4" t="inlineStr">
        <is>
          <t>BIC-005</t>
        </is>
      </c>
      <c r="E5" s="4" t="n"/>
      <c r="F5" s="4" t="n"/>
      <c r="G5" s="4" t="n"/>
      <c r="H5" s="6">
        <f>IFERROR(G5/60,"")</f>
        <v/>
      </c>
      <c r="I5" s="4" t="n"/>
      <c r="J5" s="6">
        <f>IFERROR(I5-H5,"")</f>
        <v/>
      </c>
      <c r="K5" s="7">
        <f>IFERROR((I5-H5)/H5*100,"")</f>
        <v/>
      </c>
      <c r="L5" s="4" t="n"/>
    </row>
    <row r="6">
      <c r="A6" s="4" t="inlineStr">
        <is>
          <t>Día 7</t>
        </is>
      </c>
      <c r="B6" s="4" t="inlineStr">
        <is>
          <t>tarde</t>
        </is>
      </c>
      <c r="C6" s="4" t="n"/>
      <c r="D6" s="4" t="n"/>
      <c r="E6" s="4" t="n"/>
      <c r="F6" s="4" t="n"/>
      <c r="G6" s="4" t="n"/>
      <c r="H6" s="6">
        <f>IFERROR(G6/60,"")</f>
        <v/>
      </c>
      <c r="I6" s="4" t="n"/>
      <c r="J6" s="6">
        <f>IFERROR(I6-H6,"")</f>
        <v/>
      </c>
      <c r="K6" s="7">
        <f>IFERROR((I6-H6)/H6*100,"")</f>
        <v/>
      </c>
      <c r="L6" s="4" t="n"/>
    </row>
    <row r="7">
      <c r="A7" s="4" t="inlineStr">
        <is>
          <t>Día 7</t>
        </is>
      </c>
      <c r="B7" s="4" t="inlineStr">
        <is>
          <t>noche</t>
        </is>
      </c>
      <c r="C7" s="4" t="n"/>
      <c r="D7" s="4" t="n"/>
      <c r="E7" s="4" t="n"/>
      <c r="F7" s="4" t="n"/>
      <c r="G7" s="4" t="n"/>
      <c r="H7" s="6">
        <f>IFERROR(G7/60,"")</f>
        <v/>
      </c>
      <c r="I7" s="4" t="n"/>
      <c r="J7" s="6">
        <f>IFERROR(I7-H7,"")</f>
        <v/>
      </c>
      <c r="K7" s="7">
        <f>IFERROR((I7-H7)/H7*100,"")</f>
        <v/>
      </c>
      <c r="L7" s="4" t="n"/>
    </row>
    <row r="8">
      <c r="A8" s="4" t="inlineStr">
        <is>
          <t>Día 11</t>
        </is>
      </c>
      <c r="B8" s="4" t="inlineStr">
        <is>
          <t>mañana</t>
        </is>
      </c>
      <c r="C8" s="4" t="n"/>
      <c r="D8" s="4" t="inlineStr">
        <is>
          <t>MON-09</t>
        </is>
      </c>
      <c r="E8" s="4" t="n"/>
      <c r="F8" s="4" t="n"/>
      <c r="G8" s="4" t="n"/>
      <c r="H8" s="6">
        <f>IFERROR(G8/60,"")</f>
        <v/>
      </c>
      <c r="I8" s="4" t="n"/>
      <c r="J8" s="6">
        <f>IFERROR(I8-H8,"")</f>
        <v/>
      </c>
      <c r="K8" s="7">
        <f>IFERROR((I8-H8)/H8*100,"")</f>
        <v/>
      </c>
      <c r="L8" s="4" t="n"/>
    </row>
    <row r="9">
      <c r="A9" s="4" t="inlineStr">
        <is>
          <t>Día 11</t>
        </is>
      </c>
      <c r="B9" s="4" t="inlineStr">
        <is>
          <t>tarde</t>
        </is>
      </c>
      <c r="C9" s="4" t="n"/>
      <c r="D9" s="4" t="n"/>
      <c r="E9" s="4" t="n"/>
      <c r="F9" s="4" t="n"/>
      <c r="G9" s="4" t="n"/>
      <c r="H9" s="6">
        <f>IFERROR(G9/60,"")</f>
        <v/>
      </c>
      <c r="I9" s="4" t="n"/>
      <c r="J9" s="6">
        <f>IFERROR(I9-H9,"")</f>
        <v/>
      </c>
      <c r="K9" s="7">
        <f>IFERROR((I9-H9)/H9*100,"")</f>
        <v/>
      </c>
      <c r="L9" s="4" t="n"/>
    </row>
    <row r="10">
      <c r="A10" s="4" t="inlineStr">
        <is>
          <t>Día 11</t>
        </is>
      </c>
      <c r="B10" s="4" t="inlineStr">
        <is>
          <t>noche</t>
        </is>
      </c>
      <c r="C10" s="4" t="n"/>
      <c r="D10" s="4" t="n"/>
      <c r="E10" s="4" t="n"/>
      <c r="F10" s="4" t="n"/>
      <c r="G10" s="4" t="n"/>
      <c r="H10" s="6">
        <f>IFERROR(G10/60,"")</f>
        <v/>
      </c>
      <c r="I10" s="4" t="n"/>
      <c r="J10" s="6">
        <f>IFERROR(I10-H10,"")</f>
        <v/>
      </c>
      <c r="K10" s="7">
        <f>IFERROR((I10-H10)/H10*100,"")</f>
        <v/>
      </c>
      <c r="L10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2" customWidth="1" min="4" max="4"/>
    <col width="26" customWidth="1" min="5" max="5"/>
    <col width="40" customWidth="1" min="6" max="6"/>
  </cols>
  <sheetData>
    <row r="1" ht="40" customHeight="1">
      <c r="A1" s="3" t="inlineStr">
        <is>
          <t>Día</t>
        </is>
      </c>
      <c r="B1" s="3" t="inlineStr">
        <is>
          <t>Fecha</t>
        </is>
      </c>
      <c r="C1" s="3" t="inlineStr">
        <is>
          <t>Cortes forzados (n)</t>
        </is>
      </c>
      <c r="D1" s="3" t="inlineStr">
        <is>
          <t>Registros perdidos (n)</t>
        </is>
      </c>
      <c r="E1" s="3" t="inlineStr">
        <is>
          <t>Latencia media reintento (seg)</t>
        </is>
      </c>
      <c r="F1" s="3" t="inlineStr">
        <is>
          <t>Observaciones</t>
        </is>
      </c>
    </row>
    <row r="2">
      <c r="A2" s="4" t="inlineStr">
        <is>
          <t>Día 3</t>
        </is>
      </c>
      <c r="B2" s="4" t="n"/>
      <c r="C2" s="4" t="n">
        <v>5</v>
      </c>
      <c r="D2" s="4" t="n"/>
      <c r="E2" s="4" t="n"/>
      <c r="F2" s="4" t="n"/>
    </row>
    <row r="3">
      <c r="A3" s="4" t="inlineStr">
        <is>
          <t>Día 7</t>
        </is>
      </c>
      <c r="B3" s="4" t="n"/>
      <c r="C3" s="4" t="n">
        <v>5</v>
      </c>
      <c r="D3" s="4" t="n"/>
      <c r="E3" s="4" t="n"/>
      <c r="F3" s="4" t="n"/>
    </row>
    <row r="4">
      <c r="A4" s="4" t="inlineStr">
        <is>
          <t>Día 11</t>
        </is>
      </c>
      <c r="B4" s="4" t="n"/>
      <c r="C4" s="4" t="n">
        <v>5</v>
      </c>
      <c r="D4" s="4" t="n"/>
      <c r="E4" s="4" t="n"/>
      <c r="F4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6" customWidth="1" min="4" max="4"/>
    <col width="30" customWidth="1" min="5" max="5"/>
  </cols>
  <sheetData>
    <row r="1">
      <c r="A1" s="8" t="inlineStr">
        <is>
          <t>Día 12 — Alertas AMP y Vencido con equipo NUEVO BIC-071 (creado desde /alta)</t>
        </is>
      </c>
    </row>
    <row r="2">
      <c r="A2" s="9" t="inlineStr">
        <is>
          <t>Precondición: dar de alta BIC-071 con tipo=bomba_infusion, umbral_horas=5000, horas_iniciales=0</t>
        </is>
      </c>
    </row>
    <row r="4">
      <c r="A4" s="3" t="inlineStr">
        <is>
          <t>Prueba</t>
        </is>
      </c>
      <c r="B4" s="3" t="inlineStr">
        <is>
          <t>Horas objetivo</t>
        </is>
      </c>
      <c r="C4" s="3" t="inlineStr">
        <is>
          <t>Alerta disparada (S/N)</t>
        </is>
      </c>
      <c r="D4" s="3" t="inlineStr">
        <is>
          <t>Tiempo hasta el disparo (seg)</t>
        </is>
      </c>
      <c r="E4" s="3" t="inlineStr">
        <is>
          <t>Video (nombre archivo)</t>
        </is>
      </c>
    </row>
    <row r="5">
      <c r="A5" s="4" t="inlineStr">
        <is>
          <t>AMP (aviso 80%)</t>
        </is>
      </c>
      <c r="B5" s="4" t="n">
        <v>4100</v>
      </c>
      <c r="C5" s="4" t="n"/>
      <c r="D5" s="4" t="n"/>
      <c r="E5" s="4" t="n"/>
    </row>
    <row r="6">
      <c r="A6" s="4" t="inlineStr">
        <is>
          <t>Vencido (100%)</t>
        </is>
      </c>
      <c r="B6" s="4" t="n">
        <v>5100</v>
      </c>
      <c r="C6" s="4" t="n"/>
      <c r="D6" s="4" t="n"/>
      <c r="E6" s="4" t="n"/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6" customWidth="1" min="5" max="5"/>
  </cols>
  <sheetData>
    <row r="1">
      <c r="A1" s="8" t="inlineStr">
        <is>
          <t>Día 13 — MTBF con captura ANTES/DESPUÉS (equipo VEN-18 nuevo)</t>
        </is>
      </c>
    </row>
    <row r="2">
      <c r="A2" s="9" t="inlineStr">
        <is>
          <t>Precondición: dar de alta VEN-18 con tipo=ventilador, umbral_horas=6000, horas_iniciales=0</t>
        </is>
      </c>
    </row>
    <row r="4">
      <c r="A4" s="3" t="inlineStr">
        <is>
          <t>Momento</t>
        </is>
      </c>
      <c r="B4" s="3" t="inlineStr">
        <is>
          <t>MTBF ventilador (h)</t>
        </is>
      </c>
      <c r="C4" s="3" t="inlineStr">
        <is>
          <t>MTBF monitor (h)</t>
        </is>
      </c>
      <c r="D4" s="3" t="inlineStr">
        <is>
          <t>MTBF bomba (h)</t>
        </is>
      </c>
      <c r="E4" s="3" t="inlineStr">
        <is>
          <t>Captura (archivo)</t>
        </is>
      </c>
    </row>
    <row r="5">
      <c r="A5" s="4" t="inlineStr">
        <is>
          <t>ANTES de cargar</t>
        </is>
      </c>
      <c r="B5" s="4" t="n"/>
      <c r="C5" s="4" t="n"/>
      <c r="D5" s="4" t="n"/>
      <c r="E5" s="4" t="inlineStr">
        <is>
          <t>mtbf_antes.png</t>
        </is>
      </c>
    </row>
    <row r="6">
      <c r="A6" s="10" t="inlineStr">
        <is>
          <t>Acción: /prueba → Fallas sintéticas → VEN-18, cantidad=4, dias_rango=20</t>
        </is>
      </c>
      <c r="B6" s="4" t="n"/>
      <c r="C6" s="4" t="n"/>
      <c r="D6" s="4" t="n"/>
      <c r="E6" s="4" t="n"/>
    </row>
    <row r="7">
      <c r="A7" s="4" t="inlineStr">
        <is>
          <t>DESPUÉS</t>
        </is>
      </c>
      <c r="B7" s="4" t="n"/>
      <c r="C7" s="4" t="n"/>
      <c r="D7" s="4" t="n"/>
      <c r="E7" s="4" t="inlineStr">
        <is>
          <t>mtbf_despues.png</t>
        </is>
      </c>
    </row>
  </sheetData>
  <mergeCells count="3">
    <mergeCell ref="A2:E2"/>
    <mergeCell ref="A6:E6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8" t="inlineStr">
        <is>
          <t>Día 13 — Registro programático de falla (BIC-072) + reseteo final</t>
        </is>
      </c>
    </row>
    <row r="2">
      <c r="A2" s="9" t="inlineStr">
        <is>
          <t>Precondición: dar de alta BIC-072 con tipo=bomba_infusion, umbral_horas=5000, horas_iniciales=0</t>
        </is>
      </c>
    </row>
    <row r="4">
      <c r="A4" s="11" t="inlineStr">
        <is>
          <t>Registro programático de falla</t>
        </is>
      </c>
    </row>
    <row r="5">
      <c r="A5" s="2" t="inlineStr">
        <is>
          <t>Falla registrada con origen=real (S/N)</t>
        </is>
      </c>
    </row>
    <row r="6">
      <c r="A6" s="2" t="inlineStr">
        <is>
          <t>Equipo pasó a estado 'En falla o mantenimiento' en tablero (S/N)</t>
        </is>
      </c>
    </row>
    <row r="7">
      <c r="A7" s="2" t="inlineStr">
        <is>
          <t>Observaciones</t>
        </is>
      </c>
    </row>
    <row r="8">
      <c r="A8" s="2" t="n"/>
    </row>
    <row r="9">
      <c r="A9" s="11" t="inlineStr">
        <is>
          <t>Reseteo final (dejar tablero limpio para capturas del TFI)</t>
        </is>
      </c>
    </row>
    <row r="10">
      <c r="A10" s="2" t="inlineStr">
        <is>
          <t>BIC-071 reseteado (mantenimiento correctivo o baja lógica)</t>
        </is>
      </c>
    </row>
    <row r="11">
      <c r="A11" s="2" t="inlineStr">
        <is>
          <t>BIC-072 reseteado</t>
        </is>
      </c>
    </row>
    <row r="12">
      <c r="A12" s="2" t="inlineStr">
        <is>
          <t>VEN-18 reseteado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22" customWidth="1" min="3" max="3"/>
    <col width="60" customWidth="1" min="4" max="4"/>
  </cols>
  <sheetData>
    <row r="1">
      <c r="A1" s="12" t="inlineStr">
        <is>
          <t>Resumen final — valores para el TFI (§5.5)</t>
        </is>
      </c>
    </row>
    <row r="3" ht="32" customHeight="1">
      <c r="A3" s="3" t="inlineStr">
        <is>
          <t>Indicador</t>
        </is>
      </c>
      <c r="B3" s="3" t="inlineStr">
        <is>
          <t>Valor esperado</t>
        </is>
      </c>
      <c r="C3" s="3" t="inlineStr">
        <is>
          <t>Valor obtenido</t>
        </is>
      </c>
      <c r="D3" s="3" t="inlineStr">
        <is>
          <t>Fuente / cálculo</t>
        </is>
      </c>
    </row>
    <row r="4">
      <c r="A4" s="4" t="inlineStr">
        <is>
          <t>Tasa de lectura correcta del QR (promedio 14 días)</t>
        </is>
      </c>
      <c r="B4" s="4" t="inlineStr">
        <is>
          <t>≥ 95 %</t>
        </is>
      </c>
      <c r="C4" s="7">
        <f>IFERROR(AVERAGE('Etapa 2'!F2:F15),"")</f>
        <v/>
      </c>
      <c r="D4" s="4" t="inlineStr">
        <is>
          <t>Promedio de "Tasa de lectura QR (%)" de Etapa 2.</t>
        </is>
      </c>
    </row>
    <row r="5">
      <c r="A5" s="4" t="inlineStr">
        <is>
          <t>Duración media del escaneo (promedio 14 días)</t>
        </is>
      </c>
      <c r="B5" s="4" t="inlineStr">
        <is>
          <t>≤ 3 seg</t>
        </is>
      </c>
      <c r="C5" s="7">
        <f>IFERROR(AVERAGE('Etapa 2'!G2:G15),"")</f>
        <v/>
      </c>
      <c r="D5" s="4" t="inlineStr">
        <is>
          <t>Promedio de "Duración media escaneo" de Etapa 2.</t>
        </is>
      </c>
    </row>
    <row r="6">
      <c r="A6" s="4" t="inlineStr">
        <is>
          <t>Escaneos totales ejecutados</t>
        </is>
      </c>
      <c r="B6" s="4" t="inlineStr">
        <is>
          <t>N</t>
        </is>
      </c>
      <c r="C6" s="7">
        <f>IFERROR(SUM('Etapa 2'!D2:D15),"")</f>
        <v/>
      </c>
      <c r="D6" s="4" t="inlineStr">
        <is>
          <t>Suma de escaneos intentados en Etapa 2.</t>
        </is>
      </c>
    </row>
    <row r="7">
      <c r="A7" s="4" t="inlineStr">
        <is>
          <t>Cortes de red forzados (total, 3 días)</t>
        </is>
      </c>
      <c r="B7" s="4" t="inlineStr">
        <is>
          <t>≥ 15</t>
        </is>
      </c>
      <c r="C7" s="7">
        <f>IFERROR(SUM('Etapa 3 - Red'!C2:C4),"")</f>
        <v/>
      </c>
      <c r="D7" s="4" t="inlineStr">
        <is>
          <t>5 cortes por día en días 3, 7 y 11 (esperado 15).</t>
        </is>
      </c>
    </row>
    <row r="8">
      <c r="A8" s="4" t="inlineStr">
        <is>
          <t>Registros perdidos por cortes de red (total)</t>
        </is>
      </c>
      <c r="B8" s="4" t="inlineStr">
        <is>
          <t>0</t>
        </is>
      </c>
      <c r="C8" s="7">
        <f>IFERROR(SUM('Etapa 3 - Red'!D2:D4),"")</f>
        <v/>
      </c>
      <c r="D8" s="4" t="inlineStr">
        <is>
          <t>Suma de registros perdidos en Etapa 3 - Red.</t>
        </is>
      </c>
    </row>
    <row r="9">
      <c r="A9" s="4" t="inlineStr">
        <is>
          <t>Latencia media reintento de red</t>
        </is>
      </c>
      <c r="B9" s="4" t="inlineStr">
        <is>
          <t>≤ 10 seg</t>
        </is>
      </c>
      <c r="C9" s="7">
        <f>IFERROR(AVERAGE('Etapa 3 - Red'!E2:E4),"")</f>
        <v/>
      </c>
      <c r="D9" s="4" t="inlineStr">
        <is>
          <t>Promedio de latencia en Etapa 3 - Red.</t>
        </is>
      </c>
    </row>
    <row r="10">
      <c r="A10" s="4" t="inlineStr">
        <is>
          <t>Mediciones de exactitud de horas (N)</t>
        </is>
      </c>
      <c r="B10" s="4" t="inlineStr">
        <is>
          <t>9</t>
        </is>
      </c>
      <c r="C10" s="7">
        <f>IFERROR(COUNT('Etapa 3 - Exactitud'!K2:K10),"")</f>
        <v/>
      </c>
      <c r="D10" s="4" t="inlineStr">
        <is>
          <t>3 mediciones/día x 3 días = 9 mediciones (Etapa 3 - Exactitud).</t>
        </is>
      </c>
    </row>
    <row r="11">
      <c r="A11" s="4" t="inlineStr">
        <is>
          <t>Desvío promedio en acumulación de horas (N=9)</t>
        </is>
      </c>
      <c r="B11" s="4" t="inlineStr">
        <is>
          <t>≤ 1 %</t>
        </is>
      </c>
      <c r="C11" s="7">
        <f>IFERROR(AVERAGE('Etapa 3 - Exactitud'!K2:K10),"")</f>
        <v/>
      </c>
      <c r="D11" s="4" t="inlineStr">
        <is>
          <t>Promedio de desvíos absolutos de la Etapa 3 - Exactitud.</t>
        </is>
      </c>
    </row>
    <row r="12">
      <c r="A12" s="4" t="inlineStr">
        <is>
          <t>Desvío máximo en acumulación de horas</t>
        </is>
      </c>
      <c r="B12" s="4" t="inlineStr">
        <is>
          <t>≤ 2 %</t>
        </is>
      </c>
      <c r="C12" s="7">
        <f>IFERROR(MAX('Etapa 3 - Exactitud'!K2:K10),"")</f>
        <v/>
      </c>
      <c r="D12" s="4" t="inlineStr">
        <is>
          <t>Máximo desvío observado.</t>
        </is>
      </c>
    </row>
    <row r="13">
      <c r="A13" s="4" t="inlineStr">
        <is>
          <t>Alerta AMP disparada al 80% del umbral (BIC-071)</t>
        </is>
      </c>
      <c r="B13" s="4" t="inlineStr">
        <is>
          <t>Sí</t>
        </is>
      </c>
      <c r="C13" s="4" t="inlineStr"/>
      <c r="D13" s="4" t="inlineStr">
        <is>
          <t>Ver Etapa 4 - Alertas — completar manualmente.</t>
        </is>
      </c>
    </row>
    <row r="14">
      <c r="A14" s="4" t="inlineStr">
        <is>
          <t>Alerta Vencido disparada al 100% (BIC-071)</t>
        </is>
      </c>
      <c r="B14" s="4" t="inlineStr">
        <is>
          <t>Sí</t>
        </is>
      </c>
      <c r="C14" s="4" t="inlineStr"/>
      <c r="D14" s="4" t="inlineStr">
        <is>
          <t>Ver Etapa 4 - Alertas — completar manualmente.</t>
        </is>
      </c>
    </row>
    <row r="15">
      <c r="A15" s="4" t="inlineStr">
        <is>
          <t>MTBF calculable después de cargar fallas sintéticas</t>
        </is>
      </c>
      <c r="B15" s="4" t="inlineStr">
        <is>
          <t>Sí</t>
        </is>
      </c>
      <c r="C15" s="4" t="inlineStr"/>
      <c r="D15" s="4" t="inlineStr">
        <is>
          <t>Ver Etapa 4 - MTBF (comparar antes/después).</t>
        </is>
      </c>
    </row>
    <row r="16">
      <c r="A16" s="4" t="inlineStr">
        <is>
          <t>Registro programático de falla real (BIC-072)</t>
        </is>
      </c>
      <c r="B16" s="4" t="inlineStr">
        <is>
          <t>Sí, origen=real</t>
        </is>
      </c>
      <c r="C16" s="4" t="inlineStr"/>
      <c r="D16" s="4" t="inlineStr">
        <is>
          <t>Ver Etapa 4 - Falla y reset.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2026-07-27T18:19:55Z</dcterms:created>
  <dcterms:modified xmlns:dcterms="http://purl.org/dc/terms/" xmlns:xsi="http://www.w3.org/2001/XMLSchema-instance" xsi:type="dcterms:W3CDTF">2026-07-27T18:19:55Z</dcterms:modified>
</cp:coreProperties>
</file>